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bookViews>
    <workbookView xWindow="0" yWindow="0" windowWidth="23040" windowHeight="10452"/>
  </bookViews>
  <sheets>
    <sheet name="Sales" sheetId="1" r:id="rId1"/>
    <sheet name="Dashboard" sheetId="2" r:id="rId2"/>
  </sheets>
  <definedNames>
    <definedName name="Slicer_Department">#N/A</definedName>
    <definedName name="Slicer_Month">#N/A</definedName>
    <definedName name="Slicer_Region">#N/A</definedName>
  </definedNames>
  <calcPr calcId="191028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6" i="1" l="1"/>
  <c r="L9" i="1"/>
  <c r="L8" i="1"/>
  <c r="G6" i="1"/>
  <c r="H6" i="1"/>
  <c r="I6" i="1"/>
  <c r="L6" i="1"/>
  <c r="G7" i="1"/>
  <c r="H7" i="1"/>
  <c r="I7" i="1"/>
  <c r="L7" i="1"/>
  <c r="G8" i="1"/>
  <c r="H8" i="1"/>
  <c r="I8" i="1"/>
  <c r="O8" i="1" a="1"/>
  <c r="O8" i="1"/>
  <c r="G9" i="1"/>
  <c r="H9" i="1"/>
  <c r="I9" i="1"/>
  <c r="O9" i="1" a="1"/>
  <c r="O9" i="1"/>
  <c r="G10" i="1"/>
  <c r="H10" i="1"/>
  <c r="I10" i="1"/>
  <c r="L10" i="1"/>
  <c r="G11" i="1"/>
  <c r="H11" i="1"/>
  <c r="I11" i="1"/>
  <c r="L11" i="1"/>
  <c r="G12" i="1"/>
  <c r="H12" i="1"/>
  <c r="I12" i="1"/>
  <c r="G13" i="1"/>
  <c r="H13" i="1"/>
  <c r="I13" i="1"/>
  <c r="G14" i="1"/>
  <c r="H14" i="1"/>
  <c r="I14" i="1"/>
  <c r="O7" i="1" l="1" a="1"/>
  <c r="O7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<sst xmlns="http://schemas.openxmlformats.org/spreadsheetml/2006/main" count="107" uniqueCount="48">
  <si>
    <t>Sales Performance &amp; Business Insights Dashboard</t>
  </si>
  <si>
    <t>Analyze sales data and give insights about performance, growth, and opportunities.</t>
  </si>
  <si>
    <t>Summary table</t>
  </si>
  <si>
    <t>Bussinues questions</t>
  </si>
  <si>
    <t>Employee</t>
  </si>
  <si>
    <t>Department</t>
  </si>
  <si>
    <t>Region</t>
  </si>
  <si>
    <t>Month</t>
  </si>
  <si>
    <t>Product</t>
  </si>
  <si>
    <t>Sales</t>
  </si>
  <si>
    <t>Category</t>
  </si>
  <si>
    <t>Growth</t>
  </si>
  <si>
    <t>Priority</t>
  </si>
  <si>
    <t>Metric</t>
  </si>
  <si>
    <t>Value</t>
  </si>
  <si>
    <t>Question</t>
  </si>
  <si>
    <t>Response</t>
  </si>
  <si>
    <t>David</t>
  </si>
  <si>
    <t>US</t>
  </si>
  <si>
    <t>Jan</t>
  </si>
  <si>
    <t>Laptop</t>
  </si>
  <si>
    <t>Total Sales US</t>
  </si>
  <si>
    <t>Which region generates highest revenue?</t>
  </si>
  <si>
    <t>Mark</t>
  </si>
  <si>
    <t>EU</t>
  </si>
  <si>
    <t>Phone</t>
  </si>
  <si>
    <t>Total Sales EU</t>
  </si>
  <si>
    <t>Which employee has negative growth?</t>
  </si>
  <si>
    <t>John</t>
  </si>
  <si>
    <t>Feb</t>
  </si>
  <si>
    <t>Best Employee</t>
  </si>
  <si>
    <t>Which department is strongest?</t>
  </si>
  <si>
    <t>Sara</t>
  </si>
  <si>
    <t>IT</t>
  </si>
  <si>
    <t>Service</t>
  </si>
  <si>
    <t>Worst Employee</t>
  </si>
  <si>
    <t>Which product sells the most?</t>
  </si>
  <si>
    <t>Anna</t>
  </si>
  <si>
    <t>HR</t>
  </si>
  <si>
    <t>Average Sales Sales Dept</t>
  </si>
  <si>
    <t>Employees &gt; 1500</t>
  </si>
  <si>
    <t>Pivot tables</t>
  </si>
  <si>
    <t>Total Sales</t>
  </si>
  <si>
    <t>Grand Total</t>
  </si>
  <si>
    <t>Sum of Sales</t>
  </si>
  <si>
    <t>Total Revenue </t>
  </si>
  <si>
    <t>Top Region </t>
  </si>
  <si>
    <t>Top Product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</si>
</sst>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_);[Red]\(&quot;$&quot;#,##0\)"/>
  </numFmts>
  <fonts count="6" x14ac:knownFonts="1">
    <font>
      <sz val="11"/>
      <color theme="1"/>
      <name val="Arial"/>
      <family val="2"/>
      <scheme val="minor"/>
    </font>
    <font>
      <sz val="11"/>
      <color theme="1"/>
      <name val="Segoe UI"/>
      <charset val="1"/>
    </font>
    <font>
      <b/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000000"/>
      <name val="Calibri"/>
      <charset val="1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0" borderId="0" xfId="0" pivotButton="1"/>
    <xf numFmtId="0" fontId="4" fillId="0" borderId="0" xfId="0" applyFont="1"/>
    <xf numFmtId="164" fontId="4" fillId="0" borderId="0" xfId="0" applyNumberFormat="1" applyFont="1"/>
    <xf numFmtId="0" fontId="5" fillId="0" borderId="0" xfId="0" applyFont="1"/>
    <xf numFmtId="0" fontId="0" fillId="0" borderId="0" xfId="0" applyNumberFormat="1"/>
    <xf numFmtId="0" fontId="5" fillId="0" borderId="0" xfId="0" applyFont="1" applyAlignme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openxmlformats.org/officeDocument/2006/relationships/sheetMetadata" Target="metadata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[sales-performance-dashboard_v1.xlsx]Sales!PivotTable4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Sales!$L$35</c:f>
              <c:strCache>
                <c:ptCount val="1"/>
                <c:pt idx="0">
                  <c:v>Итог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Sales!$K$36:$K$38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Sales!$L$36:$L$38</c:f>
              <c:numCache>
                <c:formatCode>General</c:formatCode>
                <c:ptCount val="2"/>
                <c:pt idx="0">
                  <c:v>5300</c:v>
                </c:pt>
                <c:pt idx="1">
                  <c:v>6900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80-4CA0-8F18-D0AEDC2DF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154120"/>
        <c:axId val="1568156168"/>
      </c:lineChart>
      <c:catAx>
        <c:axId val="1568154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568156168"/>
        <c:crosses val="autoZero"/>
        <c:auto val="1"/>
        <c:lblAlgn val="ctr"/>
        <c:lblOffset val="100"/>
        <c:noMultiLvlLbl val="0"/>
      </c:catAx>
      <c:valAx>
        <c:axId val="1568156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568154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y-A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[sales-performance-dashboard_v1.xlsx]Sales!PivotTable1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Department &amp; Product Type</a:t>
            </a:r>
          </a:p>
        </c:rich>
      </c:tx>
      <c:layout>
        <c:manualLayout>
          <c:xMode val="edge"/>
          <c:yMode val="edge"/>
          <c:x val="0.22092672391075477"/>
          <c:y val="4.15675057305230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Sales!$L$17:$L$18</c:f>
              <c:strCache>
                <c:ptCount val="1"/>
                <c:pt idx="0">
                  <c:v>Laptop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Sales!$K$19:$K$22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Sales!$L$19:$L$22</c:f>
              <c:numCache>
                <c:formatCode>General</c:formatCode>
                <c:ptCount val="3"/>
                <c:pt idx="2">
                  <c:v>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3-48C0-A4DC-AD99817A05B7}"/>
            </c:ext>
          </c:extLst>
        </c:ser>
        <c:ser>
          <c:idx val="1"/>
          <c:order val="1"/>
          <c:tx>
            <c:strRef>
              <c:f>Sales!$M$17:$M$18</c:f>
              <c:strCache>
                <c:ptCount val="1"/>
                <c:pt idx="0">
                  <c:v>Phone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Sales!$K$19:$K$22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Sales!$M$19:$M$22</c:f>
              <c:numCache>
                <c:formatCode>General</c:formatCode>
                <c:ptCount val="3"/>
                <c:pt idx="2">
                  <c:v>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E3-48C0-A4DC-AD99817A05B7}"/>
            </c:ext>
          </c:extLst>
        </c:ser>
        <c:ser>
          <c:idx val="2"/>
          <c:order val="2"/>
          <c:tx>
            <c:strRef>
              <c:f>Sales!$N$17:$N$18</c:f>
              <c:strCache>
                <c:ptCount val="1"/>
                <c:pt idx="0">
                  <c:v>Service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Sales!$K$19:$K$22</c:f>
              <c:strCache>
                <c:ptCount val="3"/>
                <c:pt idx="0">
                  <c:v>HR</c:v>
                </c:pt>
                <c:pt idx="1">
                  <c:v>IT</c:v>
                </c:pt>
                <c:pt idx="2">
                  <c:v>Sales</c:v>
                </c:pt>
              </c:strCache>
            </c:strRef>
          </c:cat>
          <c:val>
            <c:numRef>
              <c:f>Sales!$N$19:$N$22</c:f>
              <c:numCache>
                <c:formatCode>General</c:formatCode>
                <c:ptCount val="3"/>
                <c:pt idx="0">
                  <c:v>1700</c:v>
                </c:pt>
                <c:pt idx="1">
                  <c:v>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E3-48C0-A4DC-AD99817A0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05399816"/>
        <c:axId val="1905401864"/>
      </c:barChart>
      <c:catAx>
        <c:axId val="190539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905401864"/>
        <c:crosses val="autoZero"/>
        <c:auto val="1"/>
        <c:lblAlgn val="ctr"/>
        <c:lblOffset val="100"/>
        <c:noMultiLvlLbl val="0"/>
      </c:catAx>
      <c:valAx>
        <c:axId val="1905401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905399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y-A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[sales-performance-dashboard_v1.xlsx]Sales!PivotTable2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y-AM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Sales!$L$24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y-AM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Sales!$K$25:$K$27</c:f>
              <c:strCache>
                <c:ptCount val="2"/>
                <c:pt idx="0">
                  <c:v>EU</c:v>
                </c:pt>
                <c:pt idx="1">
                  <c:v>US</c:v>
                </c:pt>
              </c:strCache>
            </c:strRef>
          </c:cat>
          <c:val>
            <c:numRef>
              <c:f>Sales!$L$25:$L$27</c:f>
              <c:numCache>
                <c:formatCode>General</c:formatCode>
                <c:ptCount val="2"/>
                <c:pt idx="0">
                  <c:v>5100</c:v>
                </c:pt>
                <c:pt idx="1">
                  <c:v>7100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D-4425-8951-5DFFF7C238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14816776"/>
        <c:axId val="1214830088"/>
      </c:barChart>
      <c:catAx>
        <c:axId val="121481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214830088"/>
        <c:crosses val="autoZero"/>
        <c:auto val="1"/>
        <c:lblAlgn val="ctr"/>
        <c:lblOffset val="100"/>
        <c:noMultiLvlLbl val="0"/>
      </c:catAx>
      <c:valAx>
        <c:axId val="1214830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y-AM"/>
          </a:p>
        </c:txPr>
        <c:crossAx val="121481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solidFill>
            <a:srgbClr val="FFFFFF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y-AM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y-AM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352425</xdr:colOff>
      <xdr:row>21</xdr:row>
      <xdr:rowOff>28575</xdr:rowOff>
    </xdr:from>
    <xdr:to>
      <xdr:col>9</xdr:col>
      <xdr:colOff>133350</xdr:colOff>
      <xdr:row>27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Department">
              <a:extLst>
                <a:ext uri="{FF2B5EF4-FFF2-40B4-BE49-F238E27FC236}">
                  <a16:creationId xmlns:a16="http://schemas.microsoft.com/office/drawing/2014/main" id="{6337A5A5-0961-C404-BFDB-B7C9226A4408}"/>
                </a:ext>
                <a:ext uri="{147F2762-F138-4A5C-976F-8EAC2B608ADB}">
                  <a16:predDERef xmlns:a16="http://schemas.microsoft.com/office/drawing/2014/main" pred="{64A637FB-1580-DC85-E747-B145966EA6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9625" y="4067175"/>
              <a:ext cx="1828800" cy="1114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342900</xdr:colOff>
      <xdr:row>15</xdr:row>
      <xdr:rowOff>180975</xdr:rowOff>
    </xdr:from>
    <xdr:to>
      <xdr:col>9</xdr:col>
      <xdr:colOff>123825</xdr:colOff>
      <xdr:row>20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7DDB5561-71B7-05F7-9446-A611398AA35E}"/>
                </a:ext>
                <a:ext uri="{147F2762-F138-4A5C-976F-8EAC2B608ADB}">
                  <a16:predDERef xmlns:a16="http://schemas.microsoft.com/office/drawing/2014/main" pred="{6337A5A5-0961-C404-BFDB-B7C9226A44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10100" y="3076575"/>
              <a:ext cx="1828800" cy="866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381000</xdr:colOff>
      <xdr:row>27</xdr:row>
      <xdr:rowOff>104775</xdr:rowOff>
    </xdr:from>
    <xdr:to>
      <xdr:col>9</xdr:col>
      <xdr:colOff>161925</xdr:colOff>
      <xdr:row>32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Month">
              <a:extLst>
                <a:ext uri="{FF2B5EF4-FFF2-40B4-BE49-F238E27FC236}">
                  <a16:creationId xmlns:a16="http://schemas.microsoft.com/office/drawing/2014/main" id="{6A350A4A-BAB3-5E3B-EAA9-9BCEF49F5F9B}"/>
                </a:ext>
                <a:ext uri="{147F2762-F138-4A5C-976F-8EAC2B608ADB}">
                  <a16:predDERef xmlns:a16="http://schemas.microsoft.com/office/drawing/2014/main" pred="{7DDB5561-71B7-05F7-9446-A611398AA3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8200" y="5286375"/>
              <a:ext cx="1828800" cy="923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1</xdr:row>
      <xdr:rowOff>9525</xdr:rowOff>
    </xdr:from>
    <xdr:to>
      <xdr:col>23</xdr:col>
      <xdr:colOff>457200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D36F3A-0818-4AE2-9204-57E17CC9A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0</xdr:row>
      <xdr:rowOff>171450</xdr:rowOff>
    </xdr:from>
    <xdr:to>
      <xdr:col>7</xdr:col>
      <xdr:colOff>533400</xdr:colOff>
      <xdr:row>15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F38647-E9AF-4331-B951-890260A223C0}"/>
            </a:ext>
            <a:ext uri="{147F2762-F138-4A5C-976F-8EAC2B608ADB}">
              <a16:predDERef xmlns:a16="http://schemas.microsoft.com/office/drawing/2014/main" pred="{15D36F3A-0818-4AE2-9204-57E17CC9A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1</xdr:row>
      <xdr:rowOff>9525</xdr:rowOff>
    </xdr:from>
    <xdr:to>
      <xdr:col>15</xdr:col>
      <xdr:colOff>419100</xdr:colOff>
      <xdr:row>15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D53174-E746-4143-9323-8A4BD5262DB3}"/>
            </a:ext>
            <a:ext uri="{147F2762-F138-4A5C-976F-8EAC2B608ADB}">
              <a16:predDERef xmlns:a16="http://schemas.microsoft.com/office/drawing/2014/main" pred="{98F38647-E9AF-4331-B951-890260A223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205.909166203703" createdVersion="8" refreshedVersion="8" minRefreshableVersion="3" recordCount="9">
  <cacheSource type="worksheet">
    <worksheetSource name="Table1"/>
  </cacheSource>
  <cacheFields count="9">
    <cacheField name="Employee" numFmtId="0">
      <sharedItems/>
    </cacheField>
    <cacheField name="Department" numFmtId="0">
      <sharedItems count="3">
        <s v="Sales"/>
        <s v="IT"/>
        <s v="HR"/>
      </sharedItems>
    </cacheField>
    <cacheField name="Region" numFmtId="0">
      <sharedItems count="2">
        <s v="US"/>
        <s v="EU"/>
      </sharedItems>
    </cacheField>
    <cacheField name="Month" numFmtId="0">
      <sharedItems count="2">
        <s v="Jan"/>
        <s v="Feb"/>
      </sharedItems>
    </cacheField>
    <cacheField name="Product" numFmtId="0">
      <sharedItems count="3">
        <s v="Laptop"/>
        <s v="Phone"/>
        <s v="Service"/>
      </sharedItems>
    </cacheField>
    <cacheField name="Sales" numFmtId="0">
      <sharedItems containsSemiMixedTypes="0" containsString="0" containsNumber="1" containsInteger="1" minValue="800" maxValue="2200"/>
    </cacheField>
    <cacheField name="Category" numFmtId="0">
      <sharedItems/>
    </cacheField>
    <cacheField name="Growth" numFmtId="0">
      <sharedItems containsMixedTypes="1" containsNumber="1" containsInteger="1" minValue="-100" maxValue="200"/>
    </cacheField>
    <cacheField name="Priority" numFmtId="0">
      <sharedItems/>
    </cacheField>
  </cacheFields>
  <extLst>
    <ext xmlns:x14="http://schemas.microsoft.com/office/spreadsheetml/2009/9/main" uri="{725AE2AE-9491-48be-B2B4-4EB974FC3084}">
      <x14:pivotCacheDefinition pivotCacheId="17676427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David"/>
    <x v="0"/>
    <x v="0"/>
    <x v="0"/>
    <x v="0"/>
    <n v="2000"/>
    <s v="High"/>
    <n v="200"/>
    <s v="Important"/>
  </r>
  <r>
    <s v="Mark"/>
    <x v="0"/>
    <x v="1"/>
    <x v="0"/>
    <x v="1"/>
    <n v="1500"/>
    <s v="Medium"/>
    <n v="200"/>
    <s v="Important"/>
  </r>
  <r>
    <s v="John"/>
    <x v="0"/>
    <x v="0"/>
    <x v="1"/>
    <x v="0"/>
    <n v="1200"/>
    <s v="Medium"/>
    <s v="N/A"/>
    <s v="Normal"/>
  </r>
  <r>
    <s v="Sara"/>
    <x v="1"/>
    <x v="1"/>
    <x v="1"/>
    <x v="2"/>
    <n v="900"/>
    <s v="Low"/>
    <n v="-100"/>
    <s v="Normal"/>
  </r>
  <r>
    <s v="Anna"/>
    <x v="2"/>
    <x v="0"/>
    <x v="0"/>
    <x v="2"/>
    <n v="800"/>
    <s v="Low"/>
    <n v="100"/>
    <s v="Normal"/>
  </r>
  <r>
    <s v="David"/>
    <x v="0"/>
    <x v="0"/>
    <x v="1"/>
    <x v="1"/>
    <n v="2200"/>
    <s v="High"/>
    <n v="200"/>
    <s v="Important"/>
  </r>
  <r>
    <s v="Mark"/>
    <x v="0"/>
    <x v="1"/>
    <x v="1"/>
    <x v="0"/>
    <n v="1700"/>
    <s v="Medium"/>
    <n v="200"/>
    <s v="Important"/>
  </r>
  <r>
    <s v="Sara"/>
    <x v="1"/>
    <x v="1"/>
    <x v="0"/>
    <x v="2"/>
    <n v="1000"/>
    <s v="Medium"/>
    <n v="-100"/>
    <s v="Normal"/>
  </r>
  <r>
    <s v="Anna"/>
    <x v="2"/>
    <x v="0"/>
    <x v="1"/>
    <x v="2"/>
    <n v="900"/>
    <s v="Low"/>
    <n v="100"/>
    <s v="Norm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K24:L27" firstHeaderRow="1" firstDataRow="1" firstDataCol="1"/>
  <pivotFields count="9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 Sales" fld="5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K17:O22" firstHeaderRow="1" firstDataRow="2" firstDataCol="1"/>
  <pivotFields count="9"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Total Sales" fld="5" baseField="0" baseItem="0"/>
  </dataFields>
  <chartFormats count="21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35:L38" firstHeaderRow="1" firstDataRow="1" firstDataCol="1"/>
  <pivotFields count="9"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5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29:L33" firstHeaderRow="1" firstDataRow="1" firstDataCol="1"/>
  <pivotFields count="9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1" name="PivotTable1"/>
  </pivotTables>
  <data>
    <tabular pivotCacheId="1767642781">
      <items count="3">
        <i x="2" s="1"/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" name="PivotTable1"/>
  </pivotTables>
  <data>
    <tabular pivotCacheId="1767642781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1" name="PivotTable1"/>
  </pivotTables>
  <data>
    <tabular pivotCacheId="176764278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Department" cache="Slicer_Department" caption="Department" rowHeight="228600"/>
  <slicer name="Region" cache="Slicer_Region" caption="Region" rowHeight="228600"/>
  <slicer name="Month" cache="Slicer_Month" caption="Month" rowHeight="228600"/>
</slicers>
</file>

<file path=xl/tables/table1.xml><?xml version="1.0" encoding="utf-8"?>
<table xmlns="http://schemas.openxmlformats.org/spreadsheetml/2006/main" id="4" name="Table4" displayName="Table4" ref="K5:L11" totalsRowShown="0" tableBorderDxfId="5">
  <autoFilter ref="K5:L11"/>
  <tableColumns count="2">
    <tableColumn id="1" name="Metric" dataDxfId="4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5:I14" totalsRowShown="0" headerRowDxfId="3">
  <autoFilter ref="A5:I14"/>
  <tableColumns count="9">
    <tableColumn id="1" name="Employee"/>
    <tableColumn id="2" name="Department"/>
    <tableColumn id="3" name="Region"/>
    <tableColumn id="4" name="Month"/>
    <tableColumn id="5" name="Product"/>
    <tableColumn id="6" name="Sales"/>
    <tableColumn id="8" name="Category" dataDxfId="2">
      <calculatedColumnFormula>IF(F6&gt;=2000,"High",IF(AND(F6&gt;=1000,F6&lt;2000), "Medium","Low"))</calculatedColumnFormula>
    </tableColumn>
    <tableColumn id="10" name="Growth" dataDxfId="1">
      <calculatedColumnFormula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calculatedColumnFormula>
    </tableColumn>
    <tableColumn id="12" name="Priority" dataDxfId="0">
      <calculatedColumnFormula>IF(OR(Table1[[#This Row],[Sales]]&gt;1500, AND(Table1[[#This Row],[Growth]]&lt;&gt;"N/A", Table1[[#This Row],[Growth]]&gt;150)),"Important", 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ZY44"/>
  <sheetViews>
    <sheetView tabSelected="1" workbookViewId="0">
      <selection activeCell="O9" sqref="O9"/>
    </sheetView>
  </sheetViews>
  <sheetFormatPr defaultRowHeight="13.8" x14ac:dyDescent="0.25"/>
  <cols>
    <col min="1" max="1" width="12.296875" bestFit="1" customWidth="1"/>
    <col min="2" max="2" width="14.296875" bestFit="1" customWidth="1"/>
    <col min="3" max="3" width="9.59765625" bestFit="1" customWidth="1"/>
    <col min="4" max="4" width="9.3984375" bestFit="1" customWidth="1"/>
    <col min="5" max="5" width="10.3984375" bestFit="1" customWidth="1"/>
    <col min="6" max="6" width="8" bestFit="1" customWidth="1"/>
    <col min="7" max="7" width="11.3984375" bestFit="1" customWidth="1"/>
    <col min="8" max="8" width="10.09765625" bestFit="1" customWidth="1"/>
    <col min="11" max="11" width="23.09765625" bestFit="1" customWidth="1"/>
    <col min="12" max="12" width="10.69921875" bestFit="1" customWidth="1"/>
    <col min="13" max="13" width="6.8984375" bestFit="1" customWidth="1"/>
    <col min="14" max="14" width="38.3984375" bestFit="1" customWidth="1"/>
    <col min="15" max="15" width="11.69921875" bestFit="1" customWidth="1"/>
  </cols>
  <sheetData>
    <row r="1" spans="1:15 8812:8813" ht="16.8" x14ac:dyDescent="0.4">
      <c r="A1" s="12" t="s">
        <v>0</v>
      </c>
      <c r="B1" s="12"/>
      <c r="C1" s="12"/>
      <c r="D1" s="12"/>
      <c r="E1" s="12"/>
      <c r="F1" s="12"/>
      <c r="LZX1" s="9"/>
      <c r="LZY1" s="9"/>
    </row>
    <row r="2" spans="1:15 8812:8813" x14ac:dyDescent="0.25">
      <c r="LZX2" s="9"/>
      <c r="LZY2" s="9"/>
    </row>
    <row r="3" spans="1:15 8812:8813" ht="16.8" x14ac:dyDescent="0.4">
      <c r="A3" s="12" t="s">
        <v>1</v>
      </c>
      <c r="B3" s="12"/>
      <c r="C3" s="12"/>
      <c r="D3" s="12"/>
      <c r="E3" s="12"/>
      <c r="F3" s="12"/>
      <c r="G3" s="12"/>
      <c r="H3" s="12"/>
      <c r="I3" s="12"/>
      <c r="K3" s="1" t="s">
        <v>2</v>
      </c>
      <c r="N3" t="s">
        <v>3</v>
      </c>
      <c r="LZX3" s="9"/>
      <c r="LZY3" s="9"/>
    </row>
    <row r="4" spans="1:15 8812:8813" x14ac:dyDescent="0.25">
      <c r="LZX4" s="9"/>
      <c r="LZY4" s="9"/>
    </row>
    <row r="5" spans="1:15 8812:8813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K5" s="3" t="s">
        <v>13</v>
      </c>
      <c r="L5" t="s">
        <v>14</v>
      </c>
      <c r="N5" t="s">
        <v>15</v>
      </c>
      <c r="O5" t="s">
        <v>16</v>
      </c>
      <c r="LZX5" s="9"/>
      <c r="LZY5" s="9"/>
    </row>
    <row r="6" spans="1:15 8812:8813" x14ac:dyDescent="0.25">
      <c r="A6" t="s">
        <v>17</v>
      </c>
      <c r="B6" t="s">
        <v>9</v>
      </c>
      <c r="C6" t="s">
        <v>18</v>
      </c>
      <c r="D6" t="s">
        <v>19</v>
      </c>
      <c r="E6" t="s">
        <v>20</v>
      </c>
      <c r="F6">
        <v>2000</v>
      </c>
      <c r="G6" t="str">
        <f t="shared" ref="G6:G14" si="0">IF(F6&gt;=2000,"High",IF(AND(F6&gt;=1000,F6&lt;2000), "Medium","Low"))</f>
        <v>High</v>
      </c>
      <c r="H6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200</v>
      </c>
      <c r="I6" t="str">
        <f>IF(OR(Table1[[#This Row],[Sales]]&gt;1500, AND(Table1[[#This Row],[Growth]]&lt;&gt;"N/A", Table1[[#This Row],[Growth]]&gt;150)),"Important", "Normal")</f>
        <v>Important</v>
      </c>
      <c r="K6" s="4" t="s">
        <v>21</v>
      </c>
      <c r="L6">
        <f>SUMIF(Table1[Region],"US",Table1[Sales])</f>
        <v>7100</v>
      </c>
      <c r="N6" t="s">
        <v>22</v>
      </c>
      <c r="O6" t="str">
        <f>_xlfn.XLOOKUP(MAX(L6:L7),L6:L7,C6:C7)</f>
        <v>US</v>
      </c>
      <c r="LZX6" s="9"/>
      <c r="LZY6" s="9"/>
    </row>
    <row r="7" spans="1:15 8812:8813" x14ac:dyDescent="0.25">
      <c r="A7" t="s">
        <v>23</v>
      </c>
      <c r="B7" t="s">
        <v>9</v>
      </c>
      <c r="C7" t="s">
        <v>24</v>
      </c>
      <c r="D7" t="s">
        <v>19</v>
      </c>
      <c r="E7" t="s">
        <v>25</v>
      </c>
      <c r="F7">
        <v>1500</v>
      </c>
      <c r="G7" t="str">
        <f t="shared" si="0"/>
        <v>Medium</v>
      </c>
      <c r="H7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200</v>
      </c>
      <c r="I7" t="str">
        <f>IF(OR(Table1[[#This Row],[Sales]]&gt;1500, AND(Table1[[#This Row],[Growth]]&lt;&gt;"N/A", Table1[[#This Row],[Growth]]&gt;150)),"Important", "Normal")</f>
        <v>Important</v>
      </c>
      <c r="K7" s="5" t="s">
        <v>26</v>
      </c>
      <c r="L7">
        <f>SUMIF(Table1[Region],"EU",Table1[Sales])</f>
        <v>5100</v>
      </c>
      <c r="N7" t="s">
        <v>27</v>
      </c>
      <c r="O7" t="str" cm="1">
        <f t="array" ref="O7">_xlfn.UNIQUE(_xlfn._xlws.FILTER(Table1[Employee],Table1[Growth]&lt;0))</f>
        <v>Sara</v>
      </c>
      <c r="LZX7" s="9"/>
      <c r="LZY7" s="9"/>
    </row>
    <row r="8" spans="1:15 8812:8813" ht="14.4" x14ac:dyDescent="0.3">
      <c r="A8" t="s">
        <v>28</v>
      </c>
      <c r="B8" t="s">
        <v>9</v>
      </c>
      <c r="C8" t="s">
        <v>18</v>
      </c>
      <c r="D8" t="s">
        <v>29</v>
      </c>
      <c r="E8" t="s">
        <v>20</v>
      </c>
      <c r="F8">
        <v>1200</v>
      </c>
      <c r="G8" t="str">
        <f t="shared" si="0"/>
        <v>Medium</v>
      </c>
      <c r="H8" t="str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N/A</v>
      </c>
      <c r="I8" t="str">
        <f>IF(OR(Table1[[#This Row],[Sales]]&gt;1500, AND(Table1[[#This Row],[Growth]]&lt;&gt;"N/A", Table1[[#This Row],[Growth]]&gt;150)),"Important", "Normal")</f>
        <v>Normal</v>
      </c>
      <c r="K8" s="4" t="s">
        <v>30</v>
      </c>
      <c r="L8" t="str">
        <f>_xlfn.XLOOKUP(MAX(Table1[Sales]),Table1[Sales],Table1[Employee])</f>
        <v>David</v>
      </c>
      <c r="N8" s="7" t="s">
        <v>31</v>
      </c>
      <c r="O8" t="str" cm="1">
        <f t="array" ref="O8">_xlfn.LET(_xlpm.dept,_xlfn.UNIQUE(Table1[Department]),_xlpm.totals,SUMIF(Table1[Department], _xlpm.dept, Table1[Sales]),INDEX(_xlpm.dept, MATCH(MAX(_xlpm.totals), _xlpm.totals, 0)))</f>
        <v>Sales</v>
      </c>
      <c r="LZX8" s="9"/>
      <c r="LZY8" s="9"/>
    </row>
    <row r="9" spans="1:15 8812:8813" ht="14.4" x14ac:dyDescent="0.3">
      <c r="A9" t="s">
        <v>32</v>
      </c>
      <c r="B9" t="s">
        <v>33</v>
      </c>
      <c r="C9" t="s">
        <v>24</v>
      </c>
      <c r="D9" t="s">
        <v>29</v>
      </c>
      <c r="E9" t="s">
        <v>34</v>
      </c>
      <c r="F9">
        <v>900</v>
      </c>
      <c r="G9" t="str">
        <f t="shared" si="0"/>
        <v>Low</v>
      </c>
      <c r="H9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-100</v>
      </c>
      <c r="I9" t="str">
        <f>IF(OR(Table1[[#This Row],[Sales]]&gt;1500, AND(Table1[[#This Row],[Growth]]&lt;&gt;"N/A", Table1[[#This Row],[Growth]]&gt;150)),"Important", "Normal")</f>
        <v>Normal</v>
      </c>
      <c r="K9" s="5" t="s">
        <v>35</v>
      </c>
      <c r="L9" t="str">
        <f>_xlfn.XLOOKUP(MIN(Table1[Sales]),Table1[Sales],Table1[Employee])</f>
        <v>Anna</v>
      </c>
      <c r="N9" s="7" t="s">
        <v>36</v>
      </c>
      <c r="O9" t="str" cm="1">
        <f t="array" ref="O9">_xlfn.LET(_xlpm.products,_xlfn.UNIQUE(Table1[Product]),_xlpm.totals,SUMIF(Table1[Product], _xlpm.products, Table1[Sales]),INDEX(_xlpm.products, MATCH(MAX(_xlpm.totals), _xlpm.totals,0)))</f>
        <v>Laptop</v>
      </c>
      <c r="LZX9" s="9"/>
      <c r="LZY9" s="9"/>
    </row>
    <row r="10" spans="1:15 8812:8813" x14ac:dyDescent="0.25">
      <c r="A10" t="s">
        <v>37</v>
      </c>
      <c r="B10" t="s">
        <v>38</v>
      </c>
      <c r="C10" t="s">
        <v>18</v>
      </c>
      <c r="D10" t="s">
        <v>19</v>
      </c>
      <c r="E10" t="s">
        <v>34</v>
      </c>
      <c r="F10">
        <v>800</v>
      </c>
      <c r="G10" t="str">
        <f t="shared" si="0"/>
        <v>Low</v>
      </c>
      <c r="H10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100</v>
      </c>
      <c r="I10" t="str">
        <f>IF(OR(Table1[[#This Row],[Sales]]&gt;1500, AND(Table1[[#This Row],[Growth]]&lt;&gt;"N/A", Table1[[#This Row],[Growth]]&gt;150)),"Important", "Normal")</f>
        <v>Normal</v>
      </c>
      <c r="K10" s="4" t="s">
        <v>39</v>
      </c>
      <c r="L10">
        <f>AVERAGEIF(Table1[Department],"Sales",Table1[Sales])</f>
        <v>1720</v>
      </c>
      <c r="LZX10" s="9"/>
      <c r="LZY10" s="9"/>
    </row>
    <row r="11" spans="1:15 8812:8813" x14ac:dyDescent="0.25">
      <c r="A11" t="s">
        <v>17</v>
      </c>
      <c r="B11" t="s">
        <v>9</v>
      </c>
      <c r="C11" t="s">
        <v>18</v>
      </c>
      <c r="D11" t="s">
        <v>29</v>
      </c>
      <c r="E11" t="s">
        <v>25</v>
      </c>
      <c r="F11">
        <v>2200</v>
      </c>
      <c r="G11" t="str">
        <f t="shared" si="0"/>
        <v>High</v>
      </c>
      <c r="H11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200</v>
      </c>
      <c r="I11" t="str">
        <f>IF(OR(Table1[[#This Row],[Sales]]&gt;1500, AND(Table1[[#This Row],[Growth]]&lt;&gt;"N/A", Table1[[#This Row],[Growth]]&gt;150)),"Important", "Normal")</f>
        <v>Important</v>
      </c>
      <c r="K11" s="5" t="s">
        <v>40</v>
      </c>
      <c r="L11">
        <f>COUNTA(_xlfn.UNIQUE(_xlfn._xlws.FILTER(Table1[Employee],Table1[Sales])))</f>
        <v>5</v>
      </c>
      <c r="LZX11" s="9"/>
      <c r="LZY11" s="9"/>
    </row>
    <row r="12" spans="1:15 8812:8813" x14ac:dyDescent="0.25">
      <c r="A12" t="s">
        <v>23</v>
      </c>
      <c r="B12" t="s">
        <v>9</v>
      </c>
      <c r="C12" t="s">
        <v>24</v>
      </c>
      <c r="D12" t="s">
        <v>29</v>
      </c>
      <c r="E12" t="s">
        <v>20</v>
      </c>
      <c r="F12">
        <v>1700</v>
      </c>
      <c r="G12" t="str">
        <f t="shared" si="0"/>
        <v>Medium</v>
      </c>
      <c r="H12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200</v>
      </c>
      <c r="I12" t="str">
        <f>IF(OR(Table1[[#This Row],[Sales]]&gt;1500, AND(Table1[[#This Row],[Growth]]&lt;&gt;"N/A", Table1[[#This Row],[Growth]]&gt;150)),"Important", "Normal")</f>
        <v>Important</v>
      </c>
      <c r="LZX12" s="9"/>
      <c r="LZY12" s="9"/>
    </row>
    <row r="13" spans="1:15 8812:8813" x14ac:dyDescent="0.25">
      <c r="A13" t="s">
        <v>32</v>
      </c>
      <c r="B13" t="s">
        <v>33</v>
      </c>
      <c r="C13" t="s">
        <v>24</v>
      </c>
      <c r="D13" t="s">
        <v>19</v>
      </c>
      <c r="E13" t="s">
        <v>34</v>
      </c>
      <c r="F13">
        <v>1000</v>
      </c>
      <c r="G13" t="str">
        <f t="shared" si="0"/>
        <v>Medium</v>
      </c>
      <c r="H13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-100</v>
      </c>
      <c r="I13" t="str">
        <f>IF(OR(Table1[[#This Row],[Sales]]&gt;1500, AND(Table1[[#This Row],[Growth]]&lt;&gt;"N/A", Table1[[#This Row],[Growth]]&gt;150)),"Important", "Normal")</f>
        <v>Normal</v>
      </c>
      <c r="LZX13" s="9"/>
      <c r="LZY13" s="9"/>
    </row>
    <row r="14" spans="1:15 8812:8813" x14ac:dyDescent="0.25">
      <c r="A14" t="s">
        <v>37</v>
      </c>
      <c r="B14" t="s">
        <v>38</v>
      </c>
      <c r="C14" t="s">
        <v>18</v>
      </c>
      <c r="D14" t="s">
        <v>29</v>
      </c>
      <c r="E14" t="s">
        <v>34</v>
      </c>
      <c r="F14">
        <v>900</v>
      </c>
      <c r="G14" t="str">
        <f t="shared" si="0"/>
        <v>Low</v>
      </c>
      <c r="H14">
        <f>IF(OR(SUMIFS(Table1[Sales],Table1[Employee], Table1[[#This Row],[Employee]],Table1[Month],"Feb")=0, SUMIFS(Table1[Sales],Table1[Employee],Table1[[#This Row],[Employee]],Table1[Month],"Jan")=0), "N/A",SUMIFS(Table1[Sales],Table1[Employee],Table1[[#This Row],[Employee]],Table1[Month],"Feb")-SUMIFS(Table1[Sales],Table1[Employee],Table1[[#This Row],[Employee]],Table1[Month],"Jan"))</f>
        <v>100</v>
      </c>
      <c r="I14" t="str">
        <f>IF(OR(Table1[[#This Row],[Sales]]&gt;1500, AND(Table1[[#This Row],[Growth]]&lt;&gt;"N/A", Table1[[#This Row],[Growth]]&gt;150)),"Important", "Normal")</f>
        <v>Normal</v>
      </c>
      <c r="LZX14" s="9"/>
      <c r="LZY14" s="9"/>
    </row>
    <row r="15" spans="1:15 8812:8813" ht="14.4" x14ac:dyDescent="0.3">
      <c r="K15" s="7" t="s">
        <v>41</v>
      </c>
      <c r="LZX15" s="9"/>
      <c r="LZY15" s="9"/>
    </row>
    <row r="16" spans="1:15 8812:8813" x14ac:dyDescent="0.25">
      <c r="LZX16" s="11"/>
      <c r="LZY16" s="9"/>
    </row>
    <row r="17" spans="11:15 8812:8813" x14ac:dyDescent="0.25">
      <c r="K17" s="6" t="s">
        <v>42</v>
      </c>
      <c r="L17" s="6" t="s">
        <v>8</v>
      </c>
      <c r="LZX17" s="11"/>
      <c r="LZY17" s="9"/>
    </row>
    <row r="18" spans="11:15 8812:8813" x14ac:dyDescent="0.25">
      <c r="K18" s="6" t="s">
        <v>5</v>
      </c>
      <c r="L18" t="s">
        <v>20</v>
      </c>
      <c r="M18" t="s">
        <v>25</v>
      </c>
      <c r="N18" t="s">
        <v>34</v>
      </c>
      <c r="O18" t="s">
        <v>43</v>
      </c>
      <c r="LZX18" s="11"/>
      <c r="LZY18" s="9"/>
    </row>
    <row r="19" spans="11:15 8812:8813" x14ac:dyDescent="0.25">
      <c r="K19" t="s">
        <v>38</v>
      </c>
      <c r="L19" s="10"/>
      <c r="M19" s="10"/>
      <c r="N19" s="10">
        <v>1700</v>
      </c>
      <c r="O19" s="10">
        <v>1700</v>
      </c>
      <c r="LZX19" s="11"/>
      <c r="LZY19" s="9"/>
    </row>
    <row r="20" spans="11:15 8812:8813" x14ac:dyDescent="0.25">
      <c r="K20" t="s">
        <v>33</v>
      </c>
      <c r="L20" s="10"/>
      <c r="M20" s="10"/>
      <c r="N20" s="10">
        <v>1900</v>
      </c>
      <c r="O20" s="10">
        <v>1900</v>
      </c>
      <c r="LZX20" s="11"/>
      <c r="LZY20" s="9"/>
    </row>
    <row r="21" spans="11:15 8812:8813" x14ac:dyDescent="0.25">
      <c r="K21" t="s">
        <v>9</v>
      </c>
      <c r="L21" s="10">
        <v>4900</v>
      </c>
      <c r="M21" s="10">
        <v>3700</v>
      </c>
      <c r="N21" s="10"/>
      <c r="O21" s="10">
        <v>8600</v>
      </c>
      <c r="LZX21" s="11"/>
      <c r="LZY21" s="9"/>
    </row>
    <row r="22" spans="11:15 8812:8813" x14ac:dyDescent="0.25">
      <c r="K22" t="s">
        <v>43</v>
      </c>
      <c r="L22" s="10">
        <v>4900</v>
      </c>
      <c r="M22" s="10">
        <v>3700</v>
      </c>
      <c r="N22" s="10">
        <v>3600</v>
      </c>
      <c r="O22" s="10">
        <v>12200</v>
      </c>
      <c r="LZX22" s="11"/>
      <c r="LZY22" s="9"/>
    </row>
    <row r="23" spans="11:15 8812:8813" x14ac:dyDescent="0.25">
      <c r="LZX23" s="11"/>
      <c r="LZY23" s="9"/>
    </row>
    <row r="24" spans="11:15 8812:8813" x14ac:dyDescent="0.25">
      <c r="K24" s="6" t="s">
        <v>6</v>
      </c>
      <c r="L24" t="s">
        <v>42</v>
      </c>
      <c r="LZX24" s="11"/>
      <c r="LZY24" s="9"/>
    </row>
    <row r="25" spans="11:15 8812:8813" x14ac:dyDescent="0.25">
      <c r="K25" t="s">
        <v>24</v>
      </c>
      <c r="L25" s="10">
        <v>5100</v>
      </c>
      <c r="LZX25" s="11"/>
      <c r="LZY25" s="9"/>
    </row>
    <row r="26" spans="11:15 8812:8813" x14ac:dyDescent="0.25">
      <c r="K26" t="s">
        <v>18</v>
      </c>
      <c r="L26" s="10">
        <v>7100</v>
      </c>
      <c r="LZX26" s="11"/>
      <c r="LZY26" s="9"/>
    </row>
    <row r="27" spans="11:15 8812:8813" x14ac:dyDescent="0.25">
      <c r="K27" t="s">
        <v>43</v>
      </c>
      <c r="L27" s="10">
        <v>12200</v>
      </c>
      <c r="LZX27" s="11"/>
      <c r="LZY27" s="9"/>
    </row>
    <row r="28" spans="11:15 8812:8813" x14ac:dyDescent="0.25">
      <c r="LZX28" s="11"/>
      <c r="LZY28" s="9"/>
    </row>
    <row r="29" spans="11:15 8812:8813" x14ac:dyDescent="0.25">
      <c r="K29" s="6" t="s">
        <v>8</v>
      </c>
      <c r="L29" t="s">
        <v>42</v>
      </c>
      <c r="LZX29" s="11"/>
      <c r="LZY29" s="9"/>
    </row>
    <row r="30" spans="11:15 8812:8813" x14ac:dyDescent="0.25">
      <c r="K30" t="s">
        <v>20</v>
      </c>
      <c r="L30" s="10">
        <v>4900</v>
      </c>
      <c r="LZX30" s="11"/>
      <c r="LZY30" s="9"/>
    </row>
    <row r="31" spans="11:15 8812:8813" x14ac:dyDescent="0.25">
      <c r="K31" t="s">
        <v>25</v>
      </c>
      <c r="L31" s="10">
        <v>3700</v>
      </c>
      <c r="LZX31" s="11"/>
      <c r="LZY31" s="9"/>
    </row>
    <row r="32" spans="11:15 8812:8813" x14ac:dyDescent="0.25">
      <c r="K32" t="s">
        <v>34</v>
      </c>
      <c r="L32" s="10">
        <v>3600</v>
      </c>
      <c r="LZX32" s="11"/>
      <c r="LZY32" s="9"/>
    </row>
    <row r="33" spans="11:12 8812:8813" x14ac:dyDescent="0.25">
      <c r="K33" t="s">
        <v>43</v>
      </c>
      <c r="L33" s="10">
        <v>12200</v>
      </c>
      <c r="LZX33" s="11"/>
      <c r="LZY33" s="9"/>
    </row>
    <row r="34" spans="11:12 8812:8813" x14ac:dyDescent="0.25">
      <c r="LZX34" s="9"/>
      <c r="LZY34" s="9"/>
    </row>
    <row r="35" spans="11:12 8812:8813" x14ac:dyDescent="0.25">
      <c r="K35" s="6" t="s">
        <v>7</v>
      </c>
      <c r="L35" t="s">
        <v>44</v>
      </c>
      <c r="LZX35" s="9"/>
      <c r="LZY35" s="9"/>
    </row>
    <row r="36" spans="11:12 8812:8813" x14ac:dyDescent="0.25">
      <c r="K36" t="s">
        <v>19</v>
      </c>
      <c r="L36" s="10">
        <v>5300</v>
      </c>
      <c r="LZX36" s="9"/>
      <c r="LZY36" s="9"/>
    </row>
    <row r="37" spans="11:12 8812:8813" x14ac:dyDescent="0.25">
      <c r="K37" t="s">
        <v>29</v>
      </c>
      <c r="L37" s="10">
        <v>6900</v>
      </c>
      <c r="LZX37" s="9"/>
      <c r="LZY37" s="9"/>
    </row>
    <row r="38" spans="11:12 8812:8813" x14ac:dyDescent="0.25">
      <c r="K38" t="s">
        <v>43</v>
      </c>
      <c r="L38" s="10">
        <v>12200</v>
      </c>
      <c r="LZX38" s="9"/>
      <c r="LZY38" s="9"/>
    </row>
    <row r="39" spans="11:12 8812:8813" x14ac:dyDescent="0.25">
      <c r="LZX39" s="9"/>
      <c r="LZY39" s="9"/>
    </row>
    <row r="40" spans="11:12 8812:8813" x14ac:dyDescent="0.25">
      <c r="LZX40" s="9"/>
      <c r="LZY40" s="9"/>
    </row>
    <row r="41" spans="11:12 8812:8813" x14ac:dyDescent="0.25">
      <c r="LZX41" s="9"/>
      <c r="LZY41" s="9"/>
    </row>
    <row r="42" spans="11:12 8812:8813" x14ac:dyDescent="0.25">
      <c r="LZX42" s="9"/>
      <c r="LZY42" s="9"/>
    </row>
    <row r="43" spans="11:12 8812:8813" x14ac:dyDescent="0.25">
      <c r="LZX43" s="9"/>
      <c r="LZY43" s="9"/>
    </row>
    <row r="44" spans="11:12 8812:8813" x14ac:dyDescent="0.25">
      <c r="LZX44" s="9"/>
      <c r="LZY44" s="9"/>
    </row>
  </sheetData>
  <mergeCells count="5">
    <mergeCell ref="LZX22:LZX27"/>
    <mergeCell ref="LZX28:LZX33"/>
    <mergeCell ref="A1:F1"/>
    <mergeCell ref="A3:I3"/>
    <mergeCell ref="LZX16:LZX21"/>
  </mergeCells>
  <pageMargins left="0.7" right="0.7" top="0.75" bottom="0.75" header="0.3" footer="0.3"/>
  <drawing r:id="rId5"/>
  <tableParts count="2">
    <tablePart r:id="rId6"/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C22"/>
  <sheetViews>
    <sheetView workbookViewId="0">
      <selection activeCell="B20" sqref="B20"/>
    </sheetView>
  </sheetViews>
  <sheetFormatPr defaultRowHeight="13.8" x14ac:dyDescent="0.25"/>
  <cols>
    <col min="2" max="2" width="18" customWidth="1"/>
  </cols>
  <sheetData>
    <row r="19" spans="2:3" ht="14.4" x14ac:dyDescent="0.3">
      <c r="B19" t="s">
        <v>45</v>
      </c>
      <c r="C19" s="8">
        <v>12200</v>
      </c>
    </row>
    <row r="20" spans="2:3" x14ac:dyDescent="0.25">
      <c r="B20" t="s">
        <v>30</v>
      </c>
      <c r="C20" t="s">
        <v>17</v>
      </c>
    </row>
    <row r="21" spans="2:3" x14ac:dyDescent="0.25">
      <c r="B21" t="s">
        <v>46</v>
      </c>
      <c r="C21" t="s">
        <v>18</v>
      </c>
    </row>
    <row r="22" spans="2:3" x14ac:dyDescent="0.25">
      <c r="B22" t="s">
        <v>47</v>
      </c>
      <c r="C22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Sales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Karen</cp:lastModifiedBy>
  <cp:revision/>
  <dcterms:created xsi:type="dcterms:W3CDTF">2026-07-01T12:02:06Z</dcterms:created>
  <dcterms:modified xsi:type="dcterms:W3CDTF">2026-07-02T18:50:10Z</dcterms:modified>
  <cp:category/>
  <cp:contentStatus/>
</cp:coreProperties>
</file>